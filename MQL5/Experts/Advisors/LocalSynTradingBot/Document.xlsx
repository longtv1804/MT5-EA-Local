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logic" sheetId="1" r:id="rId1"/>
    <sheet name="case xem xé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4" i="1" l="1"/>
  <c r="J28" i="1" s="1"/>
  <c r="B34" i="1"/>
  <c r="I28" i="1" s="1"/>
  <c r="I29" i="1" s="1"/>
  <c r="I30" i="1" s="1"/>
  <c r="I31" i="1" s="1"/>
  <c r="I32" i="1" s="1"/>
  <c r="L33" i="1"/>
  <c r="F33" i="1"/>
  <c r="L32" i="1"/>
  <c r="H32" i="1"/>
  <c r="F32" i="1"/>
  <c r="L31" i="1"/>
  <c r="H31" i="1"/>
  <c r="F31" i="1"/>
  <c r="L30" i="1"/>
  <c r="H30" i="1"/>
  <c r="F30" i="1"/>
  <c r="L29" i="1"/>
  <c r="O28" i="1" s="1"/>
  <c r="O30" i="1" s="1"/>
  <c r="O31" i="1" s="1"/>
  <c r="O32" i="1" s="1"/>
  <c r="O33" i="1" s="1"/>
  <c r="O34" i="1" s="1"/>
  <c r="H29" i="1"/>
  <c r="F29" i="1"/>
  <c r="N28" i="1"/>
  <c r="H28" i="1"/>
  <c r="F28" i="1"/>
  <c r="O22" i="1"/>
  <c r="P22" i="1"/>
  <c r="O18" i="1"/>
  <c r="O16" i="1"/>
  <c r="P18" i="1"/>
  <c r="P19" i="1" s="1"/>
  <c r="P20" i="1" s="1"/>
  <c r="P21" i="1" s="1"/>
  <c r="P16" i="1"/>
  <c r="L6" i="1"/>
  <c r="L7" i="1"/>
  <c r="L8" i="1"/>
  <c r="L9" i="1"/>
  <c r="L10" i="1"/>
  <c r="P5" i="1"/>
  <c r="P7" i="1" s="1"/>
  <c r="P8" i="1" s="1"/>
  <c r="P9" i="1" s="1"/>
  <c r="P10" i="1" s="1"/>
  <c r="P11" i="1" s="1"/>
  <c r="N5" i="1"/>
  <c r="H17" i="1"/>
  <c r="H18" i="1"/>
  <c r="H19" i="1"/>
  <c r="H20" i="1"/>
  <c r="H21" i="1"/>
  <c r="H16" i="1"/>
  <c r="F17" i="1"/>
  <c r="F18" i="1"/>
  <c r="F19" i="1"/>
  <c r="F20" i="1"/>
  <c r="F21" i="1"/>
  <c r="F16" i="1"/>
  <c r="H6" i="1"/>
  <c r="H7" i="1"/>
  <c r="H8" i="1"/>
  <c r="H9" i="1"/>
  <c r="H10" i="1"/>
  <c r="H5" i="1"/>
  <c r="F6" i="1"/>
  <c r="F7" i="1"/>
  <c r="F8" i="1"/>
  <c r="F9" i="1"/>
  <c r="F10" i="1"/>
  <c r="F5" i="1"/>
  <c r="D22" i="1"/>
  <c r="B22" i="1"/>
  <c r="D11" i="1"/>
  <c r="J5" i="1" s="1"/>
  <c r="J6" i="1" s="1"/>
  <c r="J7" i="1" s="1"/>
  <c r="J8" i="1" s="1"/>
  <c r="J9" i="1" s="1"/>
  <c r="J10" i="1" s="1"/>
  <c r="B11" i="1"/>
  <c r="O5" i="1" s="1"/>
  <c r="O7" i="1" s="1"/>
  <c r="O8" i="1" s="1"/>
  <c r="O9" i="1" s="1"/>
  <c r="O10" i="1" s="1"/>
  <c r="O11" i="1" s="1"/>
  <c r="J29" i="1" l="1"/>
  <c r="J30" i="1" s="1"/>
  <c r="J31" i="1" s="1"/>
  <c r="J32" i="1" s="1"/>
  <c r="J33" i="1" s="1"/>
  <c r="P28" i="1"/>
  <c r="P30" i="1" s="1"/>
  <c r="P31" i="1" s="1"/>
  <c r="P32" i="1" s="1"/>
  <c r="P33" i="1" s="1"/>
  <c r="P34" i="1" s="1"/>
  <c r="I33" i="1"/>
  <c r="O19" i="1"/>
  <c r="O20" i="1" s="1"/>
  <c r="O21" i="1" s="1"/>
  <c r="I5" i="1"/>
  <c r="I6" i="1" s="1"/>
  <c r="I7" i="1" s="1"/>
  <c r="I8" i="1" s="1"/>
  <c r="I9" i="1" s="1"/>
  <c r="I10" i="1" s="1"/>
  <c r="J16" i="1"/>
  <c r="J17" i="1" s="1"/>
  <c r="J18" i="1" s="1"/>
  <c r="J19" i="1" s="1"/>
  <c r="J20" i="1" s="1"/>
  <c r="J21" i="1" s="1"/>
  <c r="I16" i="1"/>
  <c r="I17" i="1" s="1"/>
  <c r="I18" i="1" s="1"/>
  <c r="I19" i="1" s="1"/>
  <c r="I20" i="1" s="1"/>
  <c r="I21" i="1" s="1"/>
</calcChain>
</file>

<file path=xl/sharedStrings.xml><?xml version="1.0" encoding="utf-8"?>
<sst xmlns="http://schemas.openxmlformats.org/spreadsheetml/2006/main" count="97" uniqueCount="29">
  <si>
    <t>XM</t>
  </si>
  <si>
    <t>EX</t>
  </si>
  <si>
    <t>XM Stopout</t>
  </si>
  <si>
    <t>-&gt;</t>
  </si>
  <si>
    <t>SUM</t>
  </si>
  <si>
    <t>VOL còn lại</t>
  </si>
  <si>
    <t>Loggic diễn ra</t>
  </si>
  <si>
    <t>VOL vào lệnh</t>
  </si>
  <si>
    <t>&lt;-</t>
  </si>
  <si>
    <t>Ex stopout</t>
  </si>
  <si>
    <t>nhưng trong một số trường hợp EX sẽ ko Stopout hết các lệnh</t>
  </si>
  <si>
    <t>trong trường hợp này tool sẽ cắt lệnh bên XM để đảm bảo số VOL đạt TP &gt; số vol bị SL</t>
  </si>
  <si>
    <t>XM tp</t>
  </si>
  <si>
    <t>EX tp</t>
  </si>
  <si>
    <t>Ex tp</t>
  </si>
  <si>
    <t>bình thường EX sẽ Stopout ở một điểm nên trường hợp EX stop out mà thừa lệnh lại ít xảy ra</t>
  </si>
  <si>
    <t>trường hợp vào lệnh với VOL đối ứng EX nhỏ hơn từ 0.1 -&gt; 0.3 so với XM</t>
  </si>
  <si>
    <t>trường hợp vào vol bằng nhau, chỉ lệch ở các lệnh cuối</t>
  </si>
  <si>
    <t>vào VOL bằng nhau, XM nhiều hơn một lệnh</t>
  </si>
  <si>
    <t>1, Trường hợp bị cắt lệnh trong thời gian sàn đóng cửa</t>
  </si>
  <si>
    <t>trong case này, tool không thể đóng lệnh bên đối ứng do sàn đang đóng,</t>
  </si>
  <si>
    <t>2, Trường hợp bị cắt bonus giữa chừng</t>
  </si>
  <si>
    <t>đề suất thêm đủ vol bên EXNESS để 2  bên XM-EX ngang vol nhau</t>
  </si>
  <si>
    <t>trường hợp này cần xem xét kỹ hơn</t>
  </si>
  <si>
    <t>vậy cần xem xét làm gì trong TH này ?</t>
  </si>
  <si>
    <t xml:space="preserve">2.1 - trường hợp XM dương, có thể cắt ngay lập tức vì VOL XM &gt; EX, </t>
  </si>
  <si>
    <t>cắt ở đây sẽ đỡ lỗ hơn, nhiều khi còn có lãi rồi</t>
  </si>
  <si>
    <t>2.2 - trường hợp EXNESS dương</t>
  </si>
  <si>
    <t>xem xét…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</si>
</sst>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34"/>
  <sheetViews>
    <sheetView workbookViewId="0">
      <selection activeCell="V13" sqref="V13"/>
    </sheetView>
  </sheetViews>
  <sheetFormatPr defaultRowHeight="15" x14ac:dyDescent="0.25"/>
  <cols>
    <col min="6" max="6" width="13.28515625" customWidth="1"/>
    <col min="8" max="8" width="13.28515625" customWidth="1"/>
    <col min="9" max="9" width="15" customWidth="1"/>
    <col min="10" max="10" width="14.85546875" customWidth="1"/>
    <col min="12" max="12" width="11.28515625" customWidth="1"/>
    <col min="14" max="14" width="11.28515625" customWidth="1"/>
    <col min="15" max="16" width="11.7109375" customWidth="1"/>
  </cols>
  <sheetData>
    <row r="2" spans="1:17" x14ac:dyDescent="0.25">
      <c r="B2" t="s">
        <v>16</v>
      </c>
    </row>
    <row r="3" spans="1:17" s="1" customFormat="1" x14ac:dyDescent="0.25">
      <c r="B3" s="7" t="s">
        <v>7</v>
      </c>
      <c r="C3" s="7"/>
      <c r="D3" s="7"/>
      <c r="F3" s="7" t="s">
        <v>6</v>
      </c>
      <c r="G3" s="7"/>
      <c r="H3" s="7"/>
      <c r="I3" s="7" t="s">
        <v>5</v>
      </c>
      <c r="J3" s="7"/>
      <c r="L3" s="7" t="s">
        <v>6</v>
      </c>
      <c r="M3" s="7"/>
      <c r="N3" s="7"/>
      <c r="O3" s="7" t="s">
        <v>5</v>
      </c>
      <c r="P3" s="7"/>
    </row>
    <row r="4" spans="1:17" s="1" customFormat="1" x14ac:dyDescent="0.25">
      <c r="B4" s="3" t="s">
        <v>0</v>
      </c>
      <c r="C4" s="4"/>
      <c r="D4" s="3" t="s">
        <v>1</v>
      </c>
      <c r="F4" s="4" t="s">
        <v>2</v>
      </c>
      <c r="G4" s="4"/>
      <c r="H4" s="4" t="s">
        <v>13</v>
      </c>
      <c r="I4" s="4" t="s">
        <v>0</v>
      </c>
      <c r="J4" s="4" t="s">
        <v>1</v>
      </c>
      <c r="L4" s="4" t="s">
        <v>12</v>
      </c>
      <c r="M4" s="4"/>
      <c r="N4" s="4" t="s">
        <v>9</v>
      </c>
      <c r="O4" s="4" t="s">
        <v>0</v>
      </c>
      <c r="P4" s="4" t="s">
        <v>1</v>
      </c>
      <c r="Q4" s="2" t="s">
        <v>15</v>
      </c>
    </row>
    <row r="5" spans="1:17" s="1" customFormat="1" x14ac:dyDescent="0.25">
      <c r="B5" s="4">
        <v>0.3</v>
      </c>
      <c r="C5" s="4"/>
      <c r="D5" s="4">
        <v>0.28999999999999998</v>
      </c>
      <c r="F5" s="4">
        <f>B5</f>
        <v>0.3</v>
      </c>
      <c r="G5" s="5" t="s">
        <v>3</v>
      </c>
      <c r="H5" s="4">
        <f>D5</f>
        <v>0.28999999999999998</v>
      </c>
      <c r="I5" s="4">
        <f>B11-F5</f>
        <v>1.1499999999999999</v>
      </c>
      <c r="J5" s="4">
        <f>D11-H5</f>
        <v>1.0699999999999998</v>
      </c>
      <c r="L5" s="4">
        <v>0.3</v>
      </c>
      <c r="M5" s="5" t="s">
        <v>8</v>
      </c>
      <c r="N5" s="4">
        <f>D5</f>
        <v>0.28999999999999998</v>
      </c>
      <c r="O5" s="4">
        <f>B11-L5 - L6</f>
        <v>0.84999999999999987</v>
      </c>
      <c r="P5" s="4">
        <f>D11-N5</f>
        <v>1.0699999999999998</v>
      </c>
      <c r="Q5" s="2" t="s">
        <v>10</v>
      </c>
    </row>
    <row r="6" spans="1:17" s="1" customFormat="1" x14ac:dyDescent="0.25">
      <c r="B6" s="4">
        <v>0.3</v>
      </c>
      <c r="C6" s="4"/>
      <c r="D6" s="4">
        <v>0.28000000000000003</v>
      </c>
      <c r="F6" s="4">
        <f t="shared" ref="F6:F10" si="0">B6</f>
        <v>0.3</v>
      </c>
      <c r="G6" s="5" t="s">
        <v>3</v>
      </c>
      <c r="H6" s="4">
        <f t="shared" ref="H6:H10" si="1">D6</f>
        <v>0.28000000000000003</v>
      </c>
      <c r="I6" s="4">
        <f>I5-F6</f>
        <v>0.84999999999999987</v>
      </c>
      <c r="J6" s="4">
        <f>J5-H6</f>
        <v>0.78999999999999981</v>
      </c>
      <c r="L6" s="4">
        <f>B6</f>
        <v>0.3</v>
      </c>
      <c r="M6" s="5"/>
      <c r="N6" s="4"/>
      <c r="O6" s="4"/>
      <c r="P6" s="4"/>
      <c r="Q6" s="2" t="s">
        <v>11</v>
      </c>
    </row>
    <row r="7" spans="1:17" s="1" customFormat="1" x14ac:dyDescent="0.25">
      <c r="B7" s="4">
        <v>0.25</v>
      </c>
      <c r="C7" s="4"/>
      <c r="D7" s="4">
        <v>0.25</v>
      </c>
      <c r="F7" s="4">
        <f t="shared" si="0"/>
        <v>0.25</v>
      </c>
      <c r="G7" s="5" t="s">
        <v>3</v>
      </c>
      <c r="H7" s="4">
        <f t="shared" si="1"/>
        <v>0.25</v>
      </c>
      <c r="I7" s="4">
        <f t="shared" ref="I7:I10" si="2">I6-F7</f>
        <v>0.59999999999999987</v>
      </c>
      <c r="J7" s="4">
        <f t="shared" ref="J7:J10" si="3">J6-H7</f>
        <v>0.53999999999999981</v>
      </c>
      <c r="L7" s="4">
        <f>B7</f>
        <v>0.25</v>
      </c>
      <c r="M7" s="5" t="s">
        <v>8</v>
      </c>
      <c r="N7" s="4">
        <v>0.28000000000000003</v>
      </c>
      <c r="O7" s="4">
        <f>O5-L7</f>
        <v>0.59999999999999987</v>
      </c>
      <c r="P7" s="4">
        <f>P5-N7</f>
        <v>0.78999999999999981</v>
      </c>
      <c r="Q7" s="2"/>
    </row>
    <row r="8" spans="1:17" s="1" customFormat="1" x14ac:dyDescent="0.25">
      <c r="B8" s="4">
        <v>0.25</v>
      </c>
      <c r="C8" s="4"/>
      <c r="D8" s="4">
        <v>0.23</v>
      </c>
      <c r="F8" s="4">
        <f t="shared" si="0"/>
        <v>0.25</v>
      </c>
      <c r="G8" s="5" t="s">
        <v>3</v>
      </c>
      <c r="H8" s="4">
        <f t="shared" si="1"/>
        <v>0.23</v>
      </c>
      <c r="I8" s="4">
        <f t="shared" si="2"/>
        <v>0.34999999999999987</v>
      </c>
      <c r="J8" s="4">
        <f t="shared" si="3"/>
        <v>0.30999999999999983</v>
      </c>
      <c r="L8" s="4">
        <f>B8</f>
        <v>0.25</v>
      </c>
      <c r="M8" s="5" t="s">
        <v>8</v>
      </c>
      <c r="N8" s="4">
        <v>0.25</v>
      </c>
      <c r="O8" s="4">
        <f t="shared" ref="O8:O10" si="4">O7-L8</f>
        <v>0.34999999999999987</v>
      </c>
      <c r="P8" s="4">
        <f t="shared" ref="P8:P10" si="5">P7-N8</f>
        <v>0.53999999999999981</v>
      </c>
      <c r="Q8" s="2"/>
    </row>
    <row r="9" spans="1:17" s="1" customFormat="1" x14ac:dyDescent="0.25">
      <c r="B9" s="4">
        <v>0.2</v>
      </c>
      <c r="C9" s="4"/>
      <c r="D9" s="4">
        <v>0.18</v>
      </c>
      <c r="F9" s="4">
        <f t="shared" si="0"/>
        <v>0.2</v>
      </c>
      <c r="G9" s="5" t="s">
        <v>3</v>
      </c>
      <c r="H9" s="4">
        <f t="shared" si="1"/>
        <v>0.18</v>
      </c>
      <c r="I9" s="4">
        <f t="shared" si="2"/>
        <v>0.14999999999999986</v>
      </c>
      <c r="J9" s="4">
        <f t="shared" si="3"/>
        <v>0.12999999999999984</v>
      </c>
      <c r="L9" s="4">
        <f>B9</f>
        <v>0.2</v>
      </c>
      <c r="M9" s="5" t="s">
        <v>8</v>
      </c>
      <c r="N9" s="4">
        <v>0.23</v>
      </c>
      <c r="O9" s="4">
        <f t="shared" si="4"/>
        <v>0.14999999999999986</v>
      </c>
      <c r="P9" s="4">
        <f t="shared" si="5"/>
        <v>0.30999999999999983</v>
      </c>
      <c r="Q9" s="2"/>
    </row>
    <row r="10" spans="1:17" s="1" customFormat="1" x14ac:dyDescent="0.25">
      <c r="B10" s="4">
        <v>0.15</v>
      </c>
      <c r="C10" s="4"/>
      <c r="D10" s="4">
        <v>0.13</v>
      </c>
      <c r="F10" s="4">
        <f t="shared" si="0"/>
        <v>0.15</v>
      </c>
      <c r="G10" s="5" t="s">
        <v>3</v>
      </c>
      <c r="H10" s="4">
        <f t="shared" si="1"/>
        <v>0.13</v>
      </c>
      <c r="I10" s="4">
        <f t="shared" si="2"/>
        <v>0</v>
      </c>
      <c r="J10" s="4">
        <f t="shared" si="3"/>
        <v>0</v>
      </c>
      <c r="L10" s="4">
        <f>B10</f>
        <v>0.15</v>
      </c>
      <c r="M10" s="5" t="s">
        <v>8</v>
      </c>
      <c r="N10" s="4">
        <v>0.18</v>
      </c>
      <c r="O10" s="4">
        <f t="shared" si="4"/>
        <v>0</v>
      </c>
      <c r="P10" s="4">
        <f t="shared" si="5"/>
        <v>0.12999999999999984</v>
      </c>
      <c r="Q10" s="2"/>
    </row>
    <row r="11" spans="1:17" s="1" customFormat="1" x14ac:dyDescent="0.25">
      <c r="A11" s="1" t="s">
        <v>4</v>
      </c>
      <c r="B11" s="4">
        <f>SUM(B5:B10)</f>
        <v>1.45</v>
      </c>
      <c r="C11" s="4"/>
      <c r="D11" s="4">
        <f>SUM(D5:D10)</f>
        <v>1.3599999999999999</v>
      </c>
      <c r="N11" s="4">
        <v>0.13</v>
      </c>
      <c r="O11" s="4">
        <f t="shared" ref="O11" si="6">O10-L11</f>
        <v>0</v>
      </c>
      <c r="P11" s="4">
        <f t="shared" ref="P11" si="7">P10-N11</f>
        <v>0</v>
      </c>
    </row>
    <row r="13" spans="1:17" x14ac:dyDescent="0.25">
      <c r="B13" t="s">
        <v>17</v>
      </c>
    </row>
    <row r="14" spans="1:17" x14ac:dyDescent="0.25">
      <c r="A14" s="1"/>
      <c r="B14" s="7" t="s">
        <v>7</v>
      </c>
      <c r="C14" s="7"/>
      <c r="D14" s="7"/>
      <c r="E14" s="1"/>
      <c r="F14" s="7" t="s">
        <v>6</v>
      </c>
      <c r="G14" s="7"/>
      <c r="H14" s="7"/>
      <c r="I14" s="7" t="s">
        <v>5</v>
      </c>
      <c r="J14" s="7"/>
      <c r="L14" s="7" t="s">
        <v>6</v>
      </c>
      <c r="M14" s="7"/>
      <c r="N14" s="7"/>
      <c r="O14" s="7" t="s">
        <v>5</v>
      </c>
      <c r="P14" s="7"/>
    </row>
    <row r="15" spans="1:17" x14ac:dyDescent="0.25">
      <c r="A15" s="1"/>
      <c r="B15" s="3" t="s">
        <v>0</v>
      </c>
      <c r="C15" s="4"/>
      <c r="D15" s="3" t="s">
        <v>1</v>
      </c>
      <c r="E15" s="1"/>
      <c r="F15" s="4" t="s">
        <v>2</v>
      </c>
      <c r="G15" s="4"/>
      <c r="H15" s="4" t="s">
        <v>14</v>
      </c>
      <c r="I15" s="4" t="s">
        <v>0</v>
      </c>
      <c r="J15" s="4" t="s">
        <v>1</v>
      </c>
      <c r="L15" s="4" t="s">
        <v>12</v>
      </c>
      <c r="M15" s="4"/>
      <c r="N15" s="4" t="s">
        <v>9</v>
      </c>
      <c r="O15" s="4" t="s">
        <v>0</v>
      </c>
      <c r="P15" s="4" t="s">
        <v>1</v>
      </c>
    </row>
    <row r="16" spans="1:17" x14ac:dyDescent="0.25">
      <c r="A16" s="1"/>
      <c r="B16" s="4">
        <v>0.3</v>
      </c>
      <c r="C16" s="4"/>
      <c r="D16" s="4">
        <v>0.3</v>
      </c>
      <c r="E16" s="1"/>
      <c r="F16" s="4">
        <f>B16</f>
        <v>0.3</v>
      </c>
      <c r="G16" s="5" t="s">
        <v>3</v>
      </c>
      <c r="H16" s="4">
        <f>D16</f>
        <v>0.3</v>
      </c>
      <c r="I16" s="4">
        <f>B22-F16</f>
        <v>1.1499999999999999</v>
      </c>
      <c r="J16" s="4">
        <f>D22-H16</f>
        <v>1.1000000000000001</v>
      </c>
      <c r="L16" s="4">
        <v>0.3</v>
      </c>
      <c r="M16" s="5" t="s">
        <v>8</v>
      </c>
      <c r="N16" s="4">
        <v>0.3</v>
      </c>
      <c r="O16" s="4">
        <f>B22-L16-L17</f>
        <v>0.84999999999999987</v>
      </c>
      <c r="P16" s="4">
        <f>D22-N16</f>
        <v>1.1000000000000001</v>
      </c>
    </row>
    <row r="17" spans="1:16" x14ac:dyDescent="0.25">
      <c r="A17" s="1"/>
      <c r="B17" s="4">
        <v>0.3</v>
      </c>
      <c r="C17" s="4"/>
      <c r="D17" s="4">
        <v>0.3</v>
      </c>
      <c r="E17" s="1"/>
      <c r="F17" s="4">
        <f t="shared" ref="F17:F21" si="8">B17</f>
        <v>0.3</v>
      </c>
      <c r="G17" s="5" t="s">
        <v>3</v>
      </c>
      <c r="H17" s="4">
        <f t="shared" ref="H17:H21" si="9">D17</f>
        <v>0.3</v>
      </c>
      <c r="I17" s="4">
        <f>I16-F17</f>
        <v>0.84999999999999987</v>
      </c>
      <c r="J17" s="4">
        <f>J16-H17</f>
        <v>0.8</v>
      </c>
      <c r="L17" s="4">
        <v>0.3</v>
      </c>
      <c r="M17" s="5"/>
      <c r="N17" s="4"/>
      <c r="O17" s="4"/>
      <c r="P17" s="4"/>
    </row>
    <row r="18" spans="1:16" x14ac:dyDescent="0.25">
      <c r="A18" s="1"/>
      <c r="B18" s="4">
        <v>0.25</v>
      </c>
      <c r="C18" s="4"/>
      <c r="D18" s="4">
        <v>0.25</v>
      </c>
      <c r="E18" s="1"/>
      <c r="F18" s="4">
        <f t="shared" si="8"/>
        <v>0.25</v>
      </c>
      <c r="G18" s="5" t="s">
        <v>3</v>
      </c>
      <c r="H18" s="4">
        <f t="shared" si="9"/>
        <v>0.25</v>
      </c>
      <c r="I18" s="4">
        <f t="shared" ref="I18:I21" si="10">I17-F18</f>
        <v>0.59999999999999987</v>
      </c>
      <c r="J18" s="4">
        <f t="shared" ref="J18:J21" si="11">J17-H18</f>
        <v>0.55000000000000004</v>
      </c>
      <c r="L18" s="4">
        <v>0.25</v>
      </c>
      <c r="M18" s="5" t="s">
        <v>8</v>
      </c>
      <c r="N18" s="4">
        <v>0.3</v>
      </c>
      <c r="O18" s="4">
        <f>O16-L18</f>
        <v>0.59999999999999987</v>
      </c>
      <c r="P18" s="4">
        <f>P16-N18</f>
        <v>0.8</v>
      </c>
    </row>
    <row r="19" spans="1:16" x14ac:dyDescent="0.25">
      <c r="A19" s="1"/>
      <c r="B19" s="4">
        <v>0.25</v>
      </c>
      <c r="C19" s="4"/>
      <c r="D19" s="4">
        <v>0.25</v>
      </c>
      <c r="E19" s="1"/>
      <c r="F19" s="4">
        <f t="shared" si="8"/>
        <v>0.25</v>
      </c>
      <c r="G19" s="5" t="s">
        <v>3</v>
      </c>
      <c r="H19" s="4">
        <f t="shared" si="9"/>
        <v>0.25</v>
      </c>
      <c r="I19" s="4">
        <f t="shared" si="10"/>
        <v>0.34999999999999987</v>
      </c>
      <c r="J19" s="4">
        <f t="shared" si="11"/>
        <v>0.30000000000000004</v>
      </c>
      <c r="L19" s="4">
        <v>0.25</v>
      </c>
      <c r="M19" s="5" t="s">
        <v>8</v>
      </c>
      <c r="N19" s="4">
        <v>0.25</v>
      </c>
      <c r="O19" s="4">
        <f t="shared" ref="O19:O21" si="12">O18-L19</f>
        <v>0.34999999999999987</v>
      </c>
      <c r="P19" s="4">
        <f t="shared" ref="P19:P21" si="13">P18-N19</f>
        <v>0.55000000000000004</v>
      </c>
    </row>
    <row r="20" spans="1:16" x14ac:dyDescent="0.25">
      <c r="A20" s="1"/>
      <c r="B20" s="4">
        <v>0.2</v>
      </c>
      <c r="C20" s="4"/>
      <c r="D20" s="4">
        <v>0.2</v>
      </c>
      <c r="E20" s="1"/>
      <c r="F20" s="4">
        <f t="shared" si="8"/>
        <v>0.2</v>
      </c>
      <c r="G20" s="5" t="s">
        <v>3</v>
      </c>
      <c r="H20" s="4">
        <f t="shared" si="9"/>
        <v>0.2</v>
      </c>
      <c r="I20" s="4">
        <f t="shared" si="10"/>
        <v>0.14999999999999986</v>
      </c>
      <c r="J20" s="4">
        <f t="shared" si="11"/>
        <v>0.10000000000000003</v>
      </c>
      <c r="L20" s="4">
        <v>0.2</v>
      </c>
      <c r="M20" s="5" t="s">
        <v>8</v>
      </c>
      <c r="N20" s="4">
        <v>0.25</v>
      </c>
      <c r="O20" s="4">
        <f t="shared" si="12"/>
        <v>0.14999999999999986</v>
      </c>
      <c r="P20" s="4">
        <f t="shared" si="13"/>
        <v>0.30000000000000004</v>
      </c>
    </row>
    <row r="21" spans="1:16" x14ac:dyDescent="0.25">
      <c r="A21" s="1"/>
      <c r="B21" s="4">
        <v>0.15</v>
      </c>
      <c r="C21" s="4"/>
      <c r="D21" s="4">
        <v>0.1</v>
      </c>
      <c r="E21" s="1"/>
      <c r="F21" s="4">
        <f t="shared" si="8"/>
        <v>0.15</v>
      </c>
      <c r="G21" s="5" t="s">
        <v>3</v>
      </c>
      <c r="H21" s="4">
        <f t="shared" si="9"/>
        <v>0.1</v>
      </c>
      <c r="I21" s="4">
        <f t="shared" si="10"/>
        <v>0</v>
      </c>
      <c r="J21" s="4">
        <f t="shared" si="11"/>
        <v>0</v>
      </c>
      <c r="L21" s="4">
        <v>0.15</v>
      </c>
      <c r="M21" s="5" t="s">
        <v>8</v>
      </c>
      <c r="N21" s="4">
        <v>0.2</v>
      </c>
      <c r="O21" s="4">
        <f t="shared" si="12"/>
        <v>0</v>
      </c>
      <c r="P21" s="4">
        <f t="shared" si="13"/>
        <v>0.10000000000000003</v>
      </c>
    </row>
    <row r="22" spans="1:16" x14ac:dyDescent="0.25">
      <c r="A22" s="1" t="s">
        <v>4</v>
      </c>
      <c r="B22" s="4">
        <f>SUM(B16:B21)</f>
        <v>1.45</v>
      </c>
      <c r="C22" s="4"/>
      <c r="D22" s="4">
        <f>SUM(D16:D21)</f>
        <v>1.4000000000000001</v>
      </c>
      <c r="E22" s="1"/>
      <c r="F22" s="1"/>
      <c r="G22" s="1"/>
      <c r="H22" s="1"/>
      <c r="I22" s="1"/>
      <c r="J22" s="1"/>
      <c r="N22" s="6">
        <v>0.1</v>
      </c>
      <c r="O22" s="4">
        <f t="shared" ref="O22" si="14">O21-L22</f>
        <v>0</v>
      </c>
      <c r="P22" s="4">
        <f t="shared" ref="P22" si="15">P21-N22</f>
        <v>0</v>
      </c>
    </row>
    <row r="25" spans="1:16" x14ac:dyDescent="0.25">
      <c r="B25" t="s">
        <v>18</v>
      </c>
    </row>
    <row r="26" spans="1:16" x14ac:dyDescent="0.25">
      <c r="A26" s="1"/>
      <c r="B26" s="7" t="s">
        <v>7</v>
      </c>
      <c r="C26" s="7"/>
      <c r="D26" s="7"/>
      <c r="E26" s="1"/>
      <c r="F26" s="7" t="s">
        <v>6</v>
      </c>
      <c r="G26" s="7"/>
      <c r="H26" s="7"/>
      <c r="I26" s="7" t="s">
        <v>5</v>
      </c>
      <c r="J26" s="7"/>
      <c r="K26" s="1"/>
      <c r="L26" s="7" t="s">
        <v>6</v>
      </c>
      <c r="M26" s="7"/>
      <c r="N26" s="7"/>
      <c r="O26" s="7" t="s">
        <v>5</v>
      </c>
      <c r="P26" s="7"/>
    </row>
    <row r="27" spans="1:16" x14ac:dyDescent="0.25">
      <c r="A27" s="1"/>
      <c r="B27" s="3" t="s">
        <v>0</v>
      </c>
      <c r="C27" s="4"/>
      <c r="D27" s="3" t="s">
        <v>1</v>
      </c>
      <c r="E27" s="1"/>
      <c r="F27" s="4" t="s">
        <v>2</v>
      </c>
      <c r="G27" s="4"/>
      <c r="H27" s="4" t="s">
        <v>13</v>
      </c>
      <c r="I27" s="4" t="s">
        <v>0</v>
      </c>
      <c r="J27" s="4" t="s">
        <v>1</v>
      </c>
      <c r="K27" s="1"/>
      <c r="L27" s="4" t="s">
        <v>12</v>
      </c>
      <c r="M27" s="4"/>
      <c r="N27" s="4" t="s">
        <v>9</v>
      </c>
      <c r="O27" s="4" t="s">
        <v>0</v>
      </c>
      <c r="P27" s="4" t="s">
        <v>1</v>
      </c>
    </row>
    <row r="28" spans="1:16" x14ac:dyDescent="0.25">
      <c r="A28" s="1"/>
      <c r="B28" s="4">
        <v>0.3</v>
      </c>
      <c r="C28" s="4"/>
      <c r="D28" s="4">
        <v>0.3</v>
      </c>
      <c r="E28" s="1"/>
      <c r="F28" s="4">
        <f>B28</f>
        <v>0.3</v>
      </c>
      <c r="G28" s="5" t="s">
        <v>3</v>
      </c>
      <c r="H28" s="4">
        <f>D28</f>
        <v>0.3</v>
      </c>
      <c r="I28" s="4">
        <f>B34-F28</f>
        <v>1.07</v>
      </c>
      <c r="J28" s="4">
        <f>D34-H28</f>
        <v>1</v>
      </c>
      <c r="K28" s="1"/>
      <c r="L28" s="4">
        <v>0.3</v>
      </c>
      <c r="M28" s="5" t="s">
        <v>8</v>
      </c>
      <c r="N28" s="4">
        <f>D28</f>
        <v>0.3</v>
      </c>
      <c r="O28" s="4">
        <f>B34-L28 - L29</f>
        <v>0.77</v>
      </c>
      <c r="P28" s="4">
        <f>D34-N28</f>
        <v>1</v>
      </c>
    </row>
    <row r="29" spans="1:16" x14ac:dyDescent="0.25">
      <c r="A29" s="1"/>
      <c r="B29" s="4">
        <v>0.3</v>
      </c>
      <c r="C29" s="4"/>
      <c r="D29" s="4">
        <v>0.3</v>
      </c>
      <c r="E29" s="1"/>
      <c r="F29" s="4">
        <f t="shared" ref="F29:F33" si="16">B29</f>
        <v>0.3</v>
      </c>
      <c r="G29" s="5" t="s">
        <v>3</v>
      </c>
      <c r="H29" s="4">
        <f t="shared" ref="H29:H32" si="17">D29</f>
        <v>0.3</v>
      </c>
      <c r="I29" s="4">
        <f>I28-F29</f>
        <v>0.77</v>
      </c>
      <c r="J29" s="4">
        <f>J28-H29</f>
        <v>0.7</v>
      </c>
      <c r="K29" s="1"/>
      <c r="L29" s="4">
        <f>B29</f>
        <v>0.3</v>
      </c>
      <c r="M29" s="5"/>
      <c r="N29" s="4"/>
      <c r="O29" s="4"/>
      <c r="P29" s="4"/>
    </row>
    <row r="30" spans="1:16" x14ac:dyDescent="0.25">
      <c r="A30" s="1"/>
      <c r="B30" s="4">
        <v>0.25</v>
      </c>
      <c r="C30" s="4"/>
      <c r="D30" s="4">
        <v>0.25</v>
      </c>
      <c r="E30" s="1"/>
      <c r="F30" s="4">
        <f t="shared" si="16"/>
        <v>0.25</v>
      </c>
      <c r="G30" s="5" t="s">
        <v>3</v>
      </c>
      <c r="H30" s="4">
        <f t="shared" si="17"/>
        <v>0.25</v>
      </c>
      <c r="I30" s="4">
        <f t="shared" ref="I30:I33" si="18">I29-F30</f>
        <v>0.52</v>
      </c>
      <c r="J30" s="4">
        <f t="shared" ref="J30:J33" si="19">J29-H30</f>
        <v>0.44999999999999996</v>
      </c>
      <c r="K30" s="1"/>
      <c r="L30" s="4">
        <f>B30</f>
        <v>0.25</v>
      </c>
      <c r="M30" s="5" t="s">
        <v>8</v>
      </c>
      <c r="N30" s="4">
        <v>0.3</v>
      </c>
      <c r="O30" s="4">
        <f>O28-L30</f>
        <v>0.52</v>
      </c>
      <c r="P30" s="4">
        <f>P28-N30</f>
        <v>0.7</v>
      </c>
    </row>
    <row r="31" spans="1:16" x14ac:dyDescent="0.25">
      <c r="A31" s="1"/>
      <c r="B31" s="4">
        <v>0.25</v>
      </c>
      <c r="C31" s="4"/>
      <c r="D31" s="4">
        <v>0.25</v>
      </c>
      <c r="E31" s="1"/>
      <c r="F31" s="4">
        <f t="shared" si="16"/>
        <v>0.25</v>
      </c>
      <c r="G31" s="5" t="s">
        <v>3</v>
      </c>
      <c r="H31" s="4">
        <f t="shared" si="17"/>
        <v>0.25</v>
      </c>
      <c r="I31" s="4">
        <f t="shared" si="18"/>
        <v>0.27</v>
      </c>
      <c r="J31" s="4">
        <f t="shared" si="19"/>
        <v>0.19999999999999996</v>
      </c>
      <c r="K31" s="1"/>
      <c r="L31" s="4">
        <f>B31</f>
        <v>0.25</v>
      </c>
      <c r="M31" s="5" t="s">
        <v>8</v>
      </c>
      <c r="N31" s="4">
        <v>0.25</v>
      </c>
      <c r="O31" s="4">
        <f t="shared" ref="O31:O34" si="20">O30-L31</f>
        <v>0.27</v>
      </c>
      <c r="P31" s="4">
        <f t="shared" ref="P31:P34" si="21">P30-N31</f>
        <v>0.44999999999999996</v>
      </c>
    </row>
    <row r="32" spans="1:16" x14ac:dyDescent="0.25">
      <c r="A32" s="1"/>
      <c r="B32" s="4">
        <v>0.2</v>
      </c>
      <c r="C32" s="4"/>
      <c r="D32" s="4">
        <v>0.2</v>
      </c>
      <c r="E32" s="1"/>
      <c r="F32" s="4">
        <f t="shared" si="16"/>
        <v>0.2</v>
      </c>
      <c r="G32" s="5" t="s">
        <v>3</v>
      </c>
      <c r="H32" s="4">
        <f t="shared" si="17"/>
        <v>0.2</v>
      </c>
      <c r="I32" s="4">
        <f t="shared" si="18"/>
        <v>7.0000000000000007E-2</v>
      </c>
      <c r="J32" s="4">
        <f t="shared" si="19"/>
        <v>0</v>
      </c>
      <c r="K32" s="1"/>
      <c r="L32" s="4">
        <f>B32</f>
        <v>0.2</v>
      </c>
      <c r="M32" s="5" t="s">
        <v>8</v>
      </c>
      <c r="N32" s="4">
        <v>0.25</v>
      </c>
      <c r="O32" s="4">
        <f t="shared" si="20"/>
        <v>7.0000000000000007E-2</v>
      </c>
      <c r="P32" s="4">
        <f t="shared" si="21"/>
        <v>0.19999999999999996</v>
      </c>
    </row>
    <row r="33" spans="1:16" x14ac:dyDescent="0.25">
      <c r="A33" s="1"/>
      <c r="B33" s="4">
        <v>7.0000000000000007E-2</v>
      </c>
      <c r="C33" s="4"/>
      <c r="D33" s="4"/>
      <c r="E33" s="1"/>
      <c r="F33" s="4">
        <f t="shared" si="16"/>
        <v>7.0000000000000007E-2</v>
      </c>
      <c r="G33" s="5" t="s">
        <v>3</v>
      </c>
      <c r="H33" s="4"/>
      <c r="I33" s="4">
        <f t="shared" si="18"/>
        <v>0</v>
      </c>
      <c r="J33" s="4">
        <f t="shared" si="19"/>
        <v>0</v>
      </c>
      <c r="K33" s="1"/>
      <c r="L33" s="4">
        <f>B33</f>
        <v>7.0000000000000007E-2</v>
      </c>
      <c r="M33" s="5" t="s">
        <v>8</v>
      </c>
      <c r="N33" s="4">
        <v>0.2</v>
      </c>
      <c r="O33" s="4">
        <f t="shared" si="20"/>
        <v>0</v>
      </c>
      <c r="P33" s="4">
        <f t="shared" si="21"/>
        <v>0</v>
      </c>
    </row>
    <row r="34" spans="1:16" x14ac:dyDescent="0.25">
      <c r="A34" s="1" t="s">
        <v>4</v>
      </c>
      <c r="B34" s="4">
        <f>SUM(B28:B33)</f>
        <v>1.37</v>
      </c>
      <c r="C34" s="4"/>
      <c r="D34" s="4">
        <f>SUM(D28:D33)</f>
        <v>1.3</v>
      </c>
      <c r="E34" s="1"/>
      <c r="F34" s="1"/>
      <c r="G34" s="1"/>
      <c r="H34" s="1"/>
      <c r="I34" s="1"/>
      <c r="J34" s="1"/>
      <c r="K34" s="1"/>
      <c r="L34" s="1"/>
      <c r="M34" s="1"/>
      <c r="N34" s="4"/>
      <c r="O34" s="4">
        <f t="shared" si="20"/>
        <v>0</v>
      </c>
      <c r="P34" s="4">
        <f t="shared" si="21"/>
        <v>0</v>
      </c>
    </row>
  </sheetData>
  <mergeCells count="15">
    <mergeCell ref="L3:N3"/>
    <mergeCell ref="O3:P3"/>
    <mergeCell ref="L14:N14"/>
    <mergeCell ref="O14:P14"/>
    <mergeCell ref="B26:D26"/>
    <mergeCell ref="F26:H26"/>
    <mergeCell ref="I26:J26"/>
    <mergeCell ref="L26:N26"/>
    <mergeCell ref="O26:P26"/>
    <mergeCell ref="I3:J3"/>
    <mergeCell ref="F3:H3"/>
    <mergeCell ref="F14:H14"/>
    <mergeCell ref="I14:J14"/>
    <mergeCell ref="B3:D3"/>
    <mergeCell ref="B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5"/>
  <sheetViews>
    <sheetView tabSelected="1" workbookViewId="0">
      <selection activeCell="Q26" sqref="Q26"/>
    </sheetView>
  </sheetViews>
  <sheetFormatPr defaultRowHeight="15" x14ac:dyDescent="0.25"/>
  <sheetData>
    <row r="2" spans="2:4" x14ac:dyDescent="0.25">
      <c r="B2" t="s">
        <v>19</v>
      </c>
    </row>
    <row r="3" spans="2:4" x14ac:dyDescent="0.25">
      <c r="C3" t="s">
        <v>20</v>
      </c>
    </row>
    <row r="4" spans="2:4" x14ac:dyDescent="0.25">
      <c r="C4" t="s">
        <v>24</v>
      </c>
    </row>
    <row r="8" spans="2:4" x14ac:dyDescent="0.25">
      <c r="B8" t="s">
        <v>21</v>
      </c>
    </row>
    <row r="9" spans="2:4" x14ac:dyDescent="0.25">
      <c r="C9" t="s">
        <v>22</v>
      </c>
    </row>
    <row r="11" spans="2:4" x14ac:dyDescent="0.25">
      <c r="C11" t="s">
        <v>23</v>
      </c>
    </row>
    <row r="12" spans="2:4" x14ac:dyDescent="0.25">
      <c r="C12" t="s">
        <v>25</v>
      </c>
    </row>
    <row r="13" spans="2:4" x14ac:dyDescent="0.25">
      <c r="D13" t="s">
        <v>26</v>
      </c>
    </row>
    <row r="14" spans="2:4" x14ac:dyDescent="0.25">
      <c r="C14" t="s">
        <v>27</v>
      </c>
    </row>
    <row r="15" spans="2:4" x14ac:dyDescent="0.25">
      <c r="D1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logic</vt:lpstr>
      <vt:lpstr>case xem xét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2026-03-04T04:41:09Z</dcterms:modified>
</cp:coreProperties>
</file>